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esktop\Nimish\Website\"/>
    </mc:Choice>
  </mc:AlternateContent>
  <xr:revisionPtr revIDLastSave="0" documentId="13_ncr:1_{ACBD3639-51DC-4403-B17E-5E847259C37F}" xr6:coauthVersionLast="47" xr6:coauthVersionMax="47" xr10:uidLastSave="{00000000-0000-0000-0000-000000000000}"/>
  <bookViews>
    <workbookView xWindow="6180" yWindow="3615" windowWidth="14310" windowHeight="7185" xr2:uid="{4152AF74-ECD4-4728-99A1-F3094A617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H27" i="1" s="1"/>
  <c r="L27" i="1"/>
  <c r="I27" i="1" s="1"/>
  <c r="K28" i="1"/>
  <c r="L28" i="1"/>
  <c r="K29" i="1"/>
  <c r="H29" i="1" s="1"/>
  <c r="L29" i="1"/>
  <c r="I29" i="1" s="1"/>
  <c r="K30" i="1"/>
  <c r="L30" i="1"/>
  <c r="I30" i="1" s="1"/>
  <c r="K31" i="1"/>
  <c r="H31" i="1" s="1"/>
  <c r="L31" i="1"/>
  <c r="I31" i="1" s="1"/>
  <c r="K32" i="1"/>
  <c r="H32" i="1" s="1"/>
  <c r="L32" i="1"/>
  <c r="K33" i="1"/>
  <c r="H33" i="1" s="1"/>
  <c r="L33" i="1"/>
  <c r="I33" i="1" s="1"/>
  <c r="K34" i="1"/>
  <c r="L34" i="1"/>
  <c r="K35" i="1"/>
  <c r="H35" i="1" s="1"/>
  <c r="L35" i="1"/>
  <c r="I35" i="1" s="1"/>
  <c r="K36" i="1"/>
  <c r="H36" i="1" s="1"/>
  <c r="L36" i="1"/>
  <c r="K37" i="1"/>
  <c r="L37" i="1"/>
  <c r="I37" i="1" s="1"/>
  <c r="G27" i="1"/>
  <c r="G28" i="1"/>
  <c r="H28" i="1"/>
  <c r="I28" i="1"/>
  <c r="G29" i="1"/>
  <c r="G30" i="1"/>
  <c r="H30" i="1"/>
  <c r="G31" i="1"/>
  <c r="G32" i="1"/>
  <c r="I32" i="1"/>
  <c r="G33" i="1"/>
  <c r="G34" i="1"/>
  <c r="H34" i="1"/>
  <c r="I34" i="1"/>
  <c r="G35" i="1"/>
  <c r="G36" i="1"/>
  <c r="I36" i="1"/>
  <c r="G37" i="1"/>
  <c r="H37" i="1"/>
  <c r="G26" i="1"/>
  <c r="K26" i="1"/>
  <c r="H26" i="1"/>
  <c r="L26" i="1"/>
  <c r="I26" i="1"/>
  <c r="G15" i="1"/>
  <c r="K15" i="1"/>
  <c r="H15" i="1" s="1"/>
  <c r="L15" i="1"/>
  <c r="I15" i="1" s="1"/>
  <c r="G16" i="1"/>
  <c r="K16" i="1"/>
  <c r="H16" i="1" s="1"/>
  <c r="L16" i="1"/>
  <c r="I16" i="1" s="1"/>
  <c r="G17" i="1"/>
  <c r="K17" i="1"/>
  <c r="H17" i="1" s="1"/>
  <c r="L17" i="1"/>
  <c r="I17" i="1" s="1"/>
  <c r="G18" i="1"/>
  <c r="K18" i="1"/>
  <c r="H18" i="1" s="1"/>
  <c r="L18" i="1"/>
  <c r="I18" i="1" s="1"/>
  <c r="G19" i="1"/>
  <c r="K19" i="1"/>
  <c r="H19" i="1" s="1"/>
  <c r="L19" i="1"/>
  <c r="I19" i="1" s="1"/>
  <c r="G20" i="1"/>
  <c r="H20" i="1"/>
  <c r="K20" i="1"/>
  <c r="L20" i="1"/>
  <c r="I20" i="1" s="1"/>
  <c r="G21" i="1"/>
  <c r="K21" i="1"/>
  <c r="H21" i="1" s="1"/>
  <c r="L21" i="1"/>
  <c r="I21" i="1" s="1"/>
  <c r="G22" i="1"/>
  <c r="K22" i="1"/>
  <c r="H22" i="1" s="1"/>
  <c r="L22" i="1"/>
  <c r="I22" i="1" s="1"/>
  <c r="G23" i="1"/>
  <c r="H23" i="1"/>
  <c r="K23" i="1"/>
  <c r="L23" i="1"/>
  <c r="I23" i="1" s="1"/>
  <c r="G24" i="1"/>
  <c r="K24" i="1"/>
  <c r="H24" i="1" s="1"/>
  <c r="L24" i="1"/>
  <c r="I24" i="1" s="1"/>
  <c r="G25" i="1"/>
  <c r="H25" i="1"/>
  <c r="K25" i="1"/>
  <c r="L25" i="1"/>
  <c r="I25" i="1" s="1"/>
  <c r="L14" i="1"/>
  <c r="I14" i="1" s="1"/>
  <c r="K14" i="1"/>
  <c r="H14" i="1" s="1"/>
  <c r="G14" i="1"/>
  <c r="I2" i="1"/>
  <c r="H2" i="1"/>
  <c r="G2" i="1"/>
  <c r="L2" i="1"/>
  <c r="K2" i="1"/>
</calcChain>
</file>

<file path=xl/sharedStrings.xml><?xml version="1.0" encoding="utf-8"?>
<sst xmlns="http://schemas.openxmlformats.org/spreadsheetml/2006/main" count="195" uniqueCount="63">
  <si>
    <t>Style No</t>
  </si>
  <si>
    <t>Category</t>
  </si>
  <si>
    <t>Colour</t>
  </si>
  <si>
    <t>View</t>
  </si>
  <si>
    <t>Diamond Wt</t>
  </si>
  <si>
    <t>Colour Stone Wt</t>
  </si>
  <si>
    <t>Bali</t>
  </si>
  <si>
    <t>ABL00015.Left.RG.jpg</t>
  </si>
  <si>
    <t>ABL00015.Left.WG.jpg</t>
  </si>
  <si>
    <t>ABL00015.Left.YG.jpg</t>
  </si>
  <si>
    <t>ABL00015.Right.RG.jpg</t>
  </si>
  <si>
    <t>ABL00015.Right.WG.jpg</t>
  </si>
  <si>
    <t>ABL00015.Right.YG.jpg</t>
  </si>
  <si>
    <t>ABL00015.Through.RG.jpg</t>
  </si>
  <si>
    <t>ABL00015.Through.WG.jpg</t>
  </si>
  <si>
    <t>ABL00015.Through.YG.jpg</t>
  </si>
  <si>
    <t>ABL00015.Top.RG.jpg</t>
  </si>
  <si>
    <t>ABL00015.Top.WG.jpg</t>
  </si>
  <si>
    <t>ABL00015.Top.YG.jpg</t>
  </si>
  <si>
    <t>RG</t>
  </si>
  <si>
    <t>WG</t>
  </si>
  <si>
    <t>YG</t>
  </si>
  <si>
    <t>Left</t>
  </si>
  <si>
    <t>Right</t>
  </si>
  <si>
    <t>Through</t>
  </si>
  <si>
    <t>Top</t>
  </si>
  <si>
    <t>ABL00015</t>
  </si>
  <si>
    <t>Net Wt(18kt)</t>
  </si>
  <si>
    <t>Net Wt(14kt)</t>
  </si>
  <si>
    <t>Gross wt(18kt)</t>
  </si>
  <si>
    <t>Gross wt(14kt)</t>
  </si>
  <si>
    <t>Gross wt(9kt)</t>
  </si>
  <si>
    <t>Net Wt(9kt)</t>
  </si>
  <si>
    <t>File Name</t>
  </si>
  <si>
    <t>Collection</t>
  </si>
  <si>
    <t>ABR00303.Left.RG.jpg</t>
  </si>
  <si>
    <t>ABR00303.Left.WG.jpg</t>
  </si>
  <si>
    <t>ABR00303.Left.YG.jpg</t>
  </si>
  <si>
    <t>ABR00303.Right.RG.jpg</t>
  </si>
  <si>
    <t>ABR00303.Right.WG.jpg</t>
  </si>
  <si>
    <t>ABR00303.Right.YG.jpg</t>
  </si>
  <si>
    <t>ABR00303.Through.RG.jpg</t>
  </si>
  <si>
    <t>ABR00303.Through.WG.jpg</t>
  </si>
  <si>
    <t>ABR00303.Through.YG.jpg</t>
  </si>
  <si>
    <t>ABR00303.Top.RG.jpg</t>
  </si>
  <si>
    <t>ABR00303.Top.WG.jpg</t>
  </si>
  <si>
    <t>ABR00303.Top.YG.jpg</t>
  </si>
  <si>
    <t>ABR00303</t>
  </si>
  <si>
    <t>Bracelet</t>
  </si>
  <si>
    <t>ABR00319.Left.RG.jpg</t>
  </si>
  <si>
    <t>ABR00319.Left.WG.jpg</t>
  </si>
  <si>
    <t>ABR00319.Left.YG.jpg</t>
  </si>
  <si>
    <t>ABR00319.Right.RG.jpg</t>
  </si>
  <si>
    <t>ABR00319.Right.WG.jpg</t>
  </si>
  <si>
    <t>ABR00319.Right.YG.jpg</t>
  </si>
  <si>
    <t>ABR00319.Through.RG.jpg</t>
  </si>
  <si>
    <t>ABR00319.Through.WG.jpg</t>
  </si>
  <si>
    <t>ABR00319.Through.YG.jpg</t>
  </si>
  <si>
    <t>ABR00319.Top.RG.jpg</t>
  </si>
  <si>
    <t>ABR00319.Top.WG.jpg</t>
  </si>
  <si>
    <t>ABR00319.Top.YG.jpg</t>
  </si>
  <si>
    <t>ABR00319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</si>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</sst>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A0BF-F69D-44C6-9C03-CA6709B0BB23}">
  <dimension ref="A1:O37"/>
  <sheetViews>
    <sheetView tabSelected="1" workbookViewId="0">
      <selection activeCell="F4" sqref="F4"/>
    </sheetView>
  </sheetViews>
  <sheetFormatPr defaultRowHeight="15" x14ac:dyDescent="0.25"/>
  <cols>
    <col min="2" max="2" width="8.5703125" bestFit="1" customWidth="1"/>
    <col min="3" max="3" width="9.85546875" bestFit="1" customWidth="1"/>
    <col min="4" max="4" width="9.42578125" bestFit="1" customWidth="1"/>
    <col min="5" max="5" width="6.85546875" bestFit="1" customWidth="1"/>
    <col min="6" max="6" width="8.28515625" bestFit="1" customWidth="1"/>
    <col min="7" max="8" width="13.7109375" bestFit="1" customWidth="1"/>
    <col min="9" max="9" width="12.5703125" bestFit="1" customWidth="1"/>
    <col min="10" max="11" width="11.7109375" bestFit="1" customWidth="1"/>
    <col min="12" max="12" width="10.7109375" bestFit="1" customWidth="1"/>
    <col min="13" max="13" width="11.85546875" bestFit="1" customWidth="1"/>
    <col min="14" max="14" width="15" bestFit="1" customWidth="1"/>
    <col min="15" max="15" width="24.28515625" bestFit="1" customWidth="1"/>
  </cols>
  <sheetData>
    <row r="1" spans="1:15" x14ac:dyDescent="0.25">
      <c r="A1" t="s">
        <v>62</v>
      </c>
      <c r="B1" t="s">
        <v>1</v>
      </c>
      <c r="C1" t="s">
        <v>34</v>
      </c>
      <c r="D1" t="s">
        <v>0</v>
      </c>
      <c r="E1" t="s">
        <v>2</v>
      </c>
      <c r="F1" t="s">
        <v>3</v>
      </c>
      <c r="G1" t="s">
        <v>29</v>
      </c>
      <c r="H1" t="s">
        <v>30</v>
      </c>
      <c r="I1" t="s">
        <v>31</v>
      </c>
      <c r="J1" t="s">
        <v>27</v>
      </c>
      <c r="K1" t="s">
        <v>28</v>
      </c>
      <c r="L1" t="s">
        <v>32</v>
      </c>
      <c r="M1" t="s">
        <v>4</v>
      </c>
      <c r="N1" t="s">
        <v>5</v>
      </c>
      <c r="O1" t="s">
        <v>33</v>
      </c>
    </row>
    <row r="2" spans="1:15" x14ac:dyDescent="0.25">
      <c r="A2">
        <v>1</v>
      </c>
      <c r="B2" t="s">
        <v>6</v>
      </c>
      <c r="D2" t="s">
        <v>26</v>
      </c>
      <c r="E2" t="s">
        <v>19</v>
      </c>
      <c r="F2" t="s">
        <v>22</v>
      </c>
      <c r="G2" s="1">
        <f>J2+(SUM($M2:$N2)/5)</f>
        <v>3.02</v>
      </c>
      <c r="H2" s="1">
        <f>K2+(SUM($M2:$N2)/5)</f>
        <v>2.4887978723404252</v>
      </c>
      <c r="I2" s="1">
        <f>L2+(SUM($M2:$N2)/5)</f>
        <v>1.8208191489361703</v>
      </c>
      <c r="J2" s="1">
        <v>2.3919999999999999</v>
      </c>
      <c r="K2" s="1">
        <f>($J2/0.752)*0.585</f>
        <v>1.8607978723404253</v>
      </c>
      <c r="L2" s="1">
        <f>(J2/0.752)*0.375</f>
        <v>1.1928191489361701</v>
      </c>
      <c r="M2" s="1">
        <v>3.14</v>
      </c>
      <c r="O2" t="s">
        <v>7</v>
      </c>
    </row>
    <row r="3" spans="1:15" x14ac:dyDescent="0.25">
      <c r="A3">
        <v>2</v>
      </c>
      <c r="B3" t="s">
        <v>6</v>
      </c>
      <c r="D3" t="s">
        <v>26</v>
      </c>
      <c r="E3" t="s">
        <v>20</v>
      </c>
      <c r="F3" t="s">
        <v>22</v>
      </c>
      <c r="G3" s="1">
        <v>3.02</v>
      </c>
      <c r="H3" s="1">
        <v>2.4887978723404252</v>
      </c>
      <c r="I3" s="1">
        <v>1.8208191489361703</v>
      </c>
      <c r="J3" s="1">
        <v>2.3919999999999999</v>
      </c>
      <c r="K3" s="1">
        <v>1.8607978723404253</v>
      </c>
      <c r="L3" s="1">
        <v>1.1928191489361701</v>
      </c>
      <c r="M3" s="1">
        <v>3.14</v>
      </c>
      <c r="O3" t="s">
        <v>8</v>
      </c>
    </row>
    <row r="4" spans="1:15" x14ac:dyDescent="0.25">
      <c r="A4">
        <v>3</v>
      </c>
      <c r="B4" t="s">
        <v>6</v>
      </c>
      <c r="D4" t="s">
        <v>26</v>
      </c>
      <c r="E4" t="s">
        <v>21</v>
      </c>
      <c r="F4" t="s">
        <v>22</v>
      </c>
      <c r="G4" s="1">
        <v>3.02</v>
      </c>
      <c r="H4" s="1">
        <v>2.4887978723404252</v>
      </c>
      <c r="I4" s="1">
        <v>1.8208191489361703</v>
      </c>
      <c r="J4" s="1">
        <v>2.3919999999999999</v>
      </c>
      <c r="K4" s="1">
        <v>1.8607978723404253</v>
      </c>
      <c r="L4" s="1">
        <v>1.1928191489361701</v>
      </c>
      <c r="M4" s="1">
        <v>3.14</v>
      </c>
      <c r="O4" t="s">
        <v>9</v>
      </c>
    </row>
    <row r="5" spans="1:15" x14ac:dyDescent="0.25">
      <c r="A5">
        <v>4</v>
      </c>
      <c r="B5" t="s">
        <v>6</v>
      </c>
      <c r="D5" t="s">
        <v>26</v>
      </c>
      <c r="E5" t="s">
        <v>19</v>
      </c>
      <c r="F5" t="s">
        <v>23</v>
      </c>
      <c r="G5" s="1">
        <v>3.02</v>
      </c>
      <c r="H5" s="1">
        <v>2.4887978723404252</v>
      </c>
      <c r="I5" s="1">
        <v>1.8208191489361703</v>
      </c>
      <c r="J5" s="1">
        <v>2.3919999999999999</v>
      </c>
      <c r="K5" s="1">
        <v>1.8607978723404253</v>
      </c>
      <c r="L5" s="1">
        <v>1.1928191489361701</v>
      </c>
      <c r="M5" s="1">
        <v>3.14</v>
      </c>
      <c r="O5" t="s">
        <v>10</v>
      </c>
    </row>
    <row r="6" spans="1:15" x14ac:dyDescent="0.25">
      <c r="A6">
        <v>5</v>
      </c>
      <c r="B6" t="s">
        <v>6</v>
      </c>
      <c r="D6" t="s">
        <v>26</v>
      </c>
      <c r="E6" t="s">
        <v>20</v>
      </c>
      <c r="F6" t="s">
        <v>23</v>
      </c>
      <c r="G6" s="1">
        <v>3.02</v>
      </c>
      <c r="H6" s="1">
        <v>2.4887978723404252</v>
      </c>
      <c r="I6" s="1">
        <v>1.8208191489361703</v>
      </c>
      <c r="J6" s="1">
        <v>2.3919999999999999</v>
      </c>
      <c r="K6" s="1">
        <v>1.8607978723404253</v>
      </c>
      <c r="L6" s="1">
        <v>1.1928191489361701</v>
      </c>
      <c r="M6" s="1">
        <v>3.14</v>
      </c>
      <c r="O6" t="s">
        <v>11</v>
      </c>
    </row>
    <row r="7" spans="1:15" x14ac:dyDescent="0.25">
      <c r="A7">
        <v>6</v>
      </c>
      <c r="B7" t="s">
        <v>6</v>
      </c>
      <c r="D7" t="s">
        <v>26</v>
      </c>
      <c r="E7" t="s">
        <v>21</v>
      </c>
      <c r="F7" t="s">
        <v>23</v>
      </c>
      <c r="G7" s="1">
        <v>3.02</v>
      </c>
      <c r="H7" s="1">
        <v>2.4887978723404252</v>
      </c>
      <c r="I7" s="1">
        <v>1.8208191489361703</v>
      </c>
      <c r="J7" s="1">
        <v>2.3919999999999999</v>
      </c>
      <c r="K7" s="1">
        <v>1.8607978723404253</v>
      </c>
      <c r="L7" s="1">
        <v>1.1928191489361701</v>
      </c>
      <c r="M7" s="1">
        <v>3.14</v>
      </c>
      <c r="O7" t="s">
        <v>12</v>
      </c>
    </row>
    <row r="8" spans="1:15" x14ac:dyDescent="0.25">
      <c r="A8">
        <v>7</v>
      </c>
      <c r="B8" t="s">
        <v>6</v>
      </c>
      <c r="D8" t="s">
        <v>26</v>
      </c>
      <c r="E8" t="s">
        <v>19</v>
      </c>
      <c r="F8" t="s">
        <v>24</v>
      </c>
      <c r="G8" s="1">
        <v>3.02</v>
      </c>
      <c r="H8" s="1">
        <v>2.4887978723404252</v>
      </c>
      <c r="I8" s="1">
        <v>1.8208191489361703</v>
      </c>
      <c r="J8" s="1">
        <v>2.3919999999999999</v>
      </c>
      <c r="K8" s="1">
        <v>1.8607978723404253</v>
      </c>
      <c r="L8" s="1">
        <v>1.1928191489361701</v>
      </c>
      <c r="M8" s="1">
        <v>3.14</v>
      </c>
      <c r="O8" t="s">
        <v>13</v>
      </c>
    </row>
    <row r="9" spans="1:15" x14ac:dyDescent="0.25">
      <c r="A9">
        <v>8</v>
      </c>
      <c r="B9" t="s">
        <v>6</v>
      </c>
      <c r="D9" t="s">
        <v>26</v>
      </c>
      <c r="E9" t="s">
        <v>20</v>
      </c>
      <c r="F9" t="s">
        <v>24</v>
      </c>
      <c r="G9" s="1">
        <v>3.02</v>
      </c>
      <c r="H9" s="1">
        <v>2.4887978723404252</v>
      </c>
      <c r="I9" s="1">
        <v>1.8208191489361703</v>
      </c>
      <c r="J9" s="1">
        <v>2.3919999999999999</v>
      </c>
      <c r="K9" s="1">
        <v>1.8607978723404253</v>
      </c>
      <c r="L9" s="1">
        <v>1.1928191489361701</v>
      </c>
      <c r="M9" s="1">
        <v>3.14</v>
      </c>
      <c r="O9" t="s">
        <v>14</v>
      </c>
    </row>
    <row r="10" spans="1:15" x14ac:dyDescent="0.25">
      <c r="A10">
        <v>9</v>
      </c>
      <c r="B10" t="s">
        <v>6</v>
      </c>
      <c r="D10" t="s">
        <v>26</v>
      </c>
      <c r="E10" t="s">
        <v>21</v>
      </c>
      <c r="F10" t="s">
        <v>24</v>
      </c>
      <c r="G10" s="1">
        <v>3.02</v>
      </c>
      <c r="H10" s="1">
        <v>2.4887978723404252</v>
      </c>
      <c r="I10" s="1">
        <v>1.8208191489361703</v>
      </c>
      <c r="J10" s="1">
        <v>2.3919999999999999</v>
      </c>
      <c r="K10" s="1">
        <v>1.8607978723404253</v>
      </c>
      <c r="L10" s="1">
        <v>1.1928191489361701</v>
      </c>
      <c r="M10" s="1">
        <v>3.14</v>
      </c>
      <c r="O10" t="s">
        <v>15</v>
      </c>
    </row>
    <row r="11" spans="1:15" x14ac:dyDescent="0.25">
      <c r="A11">
        <v>10</v>
      </c>
      <c r="B11" t="s">
        <v>6</v>
      </c>
      <c r="D11" t="s">
        <v>26</v>
      </c>
      <c r="E11" t="s">
        <v>19</v>
      </c>
      <c r="F11" t="s">
        <v>25</v>
      </c>
      <c r="G11" s="1">
        <v>3.02</v>
      </c>
      <c r="H11" s="1">
        <v>2.4887978723404252</v>
      </c>
      <c r="I11" s="1">
        <v>1.8208191489361703</v>
      </c>
      <c r="J11" s="1">
        <v>2.3919999999999999</v>
      </c>
      <c r="K11" s="1">
        <v>1.8607978723404253</v>
      </c>
      <c r="L11" s="1">
        <v>1.1928191489361701</v>
      </c>
      <c r="M11" s="1">
        <v>3.14</v>
      </c>
      <c r="O11" t="s">
        <v>16</v>
      </c>
    </row>
    <row r="12" spans="1:15" x14ac:dyDescent="0.25">
      <c r="A12">
        <v>11</v>
      </c>
      <c r="B12" t="s">
        <v>6</v>
      </c>
      <c r="D12" t="s">
        <v>26</v>
      </c>
      <c r="E12" t="s">
        <v>20</v>
      </c>
      <c r="F12" t="s">
        <v>25</v>
      </c>
      <c r="G12" s="1">
        <v>3.02</v>
      </c>
      <c r="H12" s="1">
        <v>2.4887978723404252</v>
      </c>
      <c r="I12" s="1">
        <v>1.8208191489361703</v>
      </c>
      <c r="J12" s="1">
        <v>2.3919999999999999</v>
      </c>
      <c r="K12" s="1">
        <v>1.8607978723404253</v>
      </c>
      <c r="L12" s="1">
        <v>1.1928191489361701</v>
      </c>
      <c r="M12" s="1">
        <v>3.14</v>
      </c>
      <c r="O12" t="s">
        <v>17</v>
      </c>
    </row>
    <row r="13" spans="1:15" x14ac:dyDescent="0.25">
      <c r="A13">
        <v>12</v>
      </c>
      <c r="B13" t="s">
        <v>6</v>
      </c>
      <c r="D13" t="s">
        <v>26</v>
      </c>
      <c r="E13" t="s">
        <v>21</v>
      </c>
      <c r="F13" t="s">
        <v>25</v>
      </c>
      <c r="G13" s="1">
        <v>3.02</v>
      </c>
      <c r="H13" s="1">
        <v>2.4887978723404252</v>
      </c>
      <c r="I13" s="1">
        <v>1.8208191489361703</v>
      </c>
      <c r="J13" s="1">
        <v>2.3919999999999999</v>
      </c>
      <c r="K13" s="1">
        <v>1.8607978723404253</v>
      </c>
      <c r="L13" s="1">
        <v>1.1928191489361701</v>
      </c>
      <c r="M13" s="1">
        <v>3.14</v>
      </c>
      <c r="O13" t="s">
        <v>18</v>
      </c>
    </row>
    <row r="14" spans="1:15" x14ac:dyDescent="0.25">
      <c r="A14">
        <v>13</v>
      </c>
      <c r="B14" t="s">
        <v>48</v>
      </c>
      <c r="D14" t="s">
        <v>47</v>
      </c>
      <c r="E14" t="s">
        <v>19</v>
      </c>
      <c r="F14" t="s">
        <v>22</v>
      </c>
      <c r="G14" s="1">
        <f>J14+(SUM($M14:$N14)/5)</f>
        <v>11</v>
      </c>
      <c r="H14" s="1">
        <f>K14+(SUM($M14:$N14)/5)</f>
        <v>8.779255319148934</v>
      </c>
      <c r="I14" s="1">
        <f>L14+(SUM($M14:$N14)/5)</f>
        <v>5.9867021276595747</v>
      </c>
      <c r="J14" s="1">
        <v>10</v>
      </c>
      <c r="K14" s="1">
        <f>($J14/0.752)*0.585</f>
        <v>7.7792553191489349</v>
      </c>
      <c r="L14" s="1">
        <f>(J14/0.752)*0.375</f>
        <v>4.9867021276595747</v>
      </c>
      <c r="M14" s="1">
        <v>5</v>
      </c>
      <c r="O14" t="s">
        <v>35</v>
      </c>
    </row>
    <row r="15" spans="1:15" x14ac:dyDescent="0.25">
      <c r="A15">
        <v>14</v>
      </c>
      <c r="B15" t="s">
        <v>48</v>
      </c>
      <c r="D15" t="s">
        <v>47</v>
      </c>
      <c r="E15" t="s">
        <v>20</v>
      </c>
      <c r="F15" t="s">
        <v>22</v>
      </c>
      <c r="G15" s="1">
        <f t="shared" ref="G15:G26" si="0">J15+(SUM($M15:$N15)/5)</f>
        <v>11</v>
      </c>
      <c r="H15" s="1">
        <f t="shared" ref="H15:H26" si="1">K15+(SUM($M15:$N15)/5)</f>
        <v>8.779255319148934</v>
      </c>
      <c r="I15" s="1">
        <f t="shared" ref="I15:I26" si="2">L15+(SUM($M15:$N15)/5)</f>
        <v>5.9867021276595747</v>
      </c>
      <c r="J15" s="1">
        <v>10</v>
      </c>
      <c r="K15" s="1">
        <f t="shared" ref="K15:K37" si="3">($J15/0.752)*0.585</f>
        <v>7.7792553191489349</v>
      </c>
      <c r="L15" s="1">
        <f t="shared" ref="L15:L26" si="4">(J15/0.752)*0.375</f>
        <v>4.9867021276595747</v>
      </c>
      <c r="M15" s="1">
        <v>5</v>
      </c>
      <c r="O15" t="s">
        <v>36</v>
      </c>
    </row>
    <row r="16" spans="1:15" x14ac:dyDescent="0.25">
      <c r="A16">
        <v>15</v>
      </c>
      <c r="B16" t="s">
        <v>48</v>
      </c>
      <c r="D16" t="s">
        <v>47</v>
      </c>
      <c r="E16" t="s">
        <v>21</v>
      </c>
      <c r="F16" t="s">
        <v>22</v>
      </c>
      <c r="G16" s="1">
        <f t="shared" si="0"/>
        <v>11</v>
      </c>
      <c r="H16" s="1">
        <f t="shared" si="1"/>
        <v>8.779255319148934</v>
      </c>
      <c r="I16" s="1">
        <f t="shared" si="2"/>
        <v>5.9867021276595747</v>
      </c>
      <c r="J16" s="1">
        <v>10</v>
      </c>
      <c r="K16" s="1">
        <f t="shared" si="3"/>
        <v>7.7792553191489349</v>
      </c>
      <c r="L16" s="1">
        <f t="shared" si="4"/>
        <v>4.9867021276595747</v>
      </c>
      <c r="M16" s="1">
        <v>5</v>
      </c>
      <c r="O16" t="s">
        <v>37</v>
      </c>
    </row>
    <row r="17" spans="1:15" x14ac:dyDescent="0.25">
      <c r="A17">
        <v>16</v>
      </c>
      <c r="B17" t="s">
        <v>48</v>
      </c>
      <c r="D17" t="s">
        <v>47</v>
      </c>
      <c r="E17" t="s">
        <v>19</v>
      </c>
      <c r="F17" t="s">
        <v>23</v>
      </c>
      <c r="G17" s="1">
        <f t="shared" si="0"/>
        <v>11</v>
      </c>
      <c r="H17" s="1">
        <f t="shared" si="1"/>
        <v>8.779255319148934</v>
      </c>
      <c r="I17" s="1">
        <f t="shared" si="2"/>
        <v>5.9867021276595747</v>
      </c>
      <c r="J17" s="1">
        <v>10</v>
      </c>
      <c r="K17" s="1">
        <f t="shared" si="3"/>
        <v>7.7792553191489349</v>
      </c>
      <c r="L17" s="1">
        <f t="shared" si="4"/>
        <v>4.9867021276595747</v>
      </c>
      <c r="M17" s="1">
        <v>5</v>
      </c>
      <c r="O17" t="s">
        <v>38</v>
      </c>
    </row>
    <row r="18" spans="1:15" x14ac:dyDescent="0.25">
      <c r="A18">
        <v>17</v>
      </c>
      <c r="B18" t="s">
        <v>48</v>
      </c>
      <c r="D18" t="s">
        <v>47</v>
      </c>
      <c r="E18" t="s">
        <v>20</v>
      </c>
      <c r="F18" t="s">
        <v>23</v>
      </c>
      <c r="G18" s="1">
        <f t="shared" si="0"/>
        <v>11</v>
      </c>
      <c r="H18" s="1">
        <f t="shared" si="1"/>
        <v>8.779255319148934</v>
      </c>
      <c r="I18" s="1">
        <f t="shared" si="2"/>
        <v>5.9867021276595747</v>
      </c>
      <c r="J18" s="1">
        <v>10</v>
      </c>
      <c r="K18" s="1">
        <f t="shared" si="3"/>
        <v>7.7792553191489349</v>
      </c>
      <c r="L18" s="1">
        <f t="shared" si="4"/>
        <v>4.9867021276595747</v>
      </c>
      <c r="M18" s="1">
        <v>5</v>
      </c>
      <c r="O18" t="s">
        <v>39</v>
      </c>
    </row>
    <row r="19" spans="1:15" x14ac:dyDescent="0.25">
      <c r="A19">
        <v>18</v>
      </c>
      <c r="B19" t="s">
        <v>48</v>
      </c>
      <c r="D19" t="s">
        <v>47</v>
      </c>
      <c r="E19" t="s">
        <v>21</v>
      </c>
      <c r="F19" t="s">
        <v>23</v>
      </c>
      <c r="G19" s="1">
        <f t="shared" si="0"/>
        <v>11</v>
      </c>
      <c r="H19" s="1">
        <f t="shared" si="1"/>
        <v>8.779255319148934</v>
      </c>
      <c r="I19" s="1">
        <f t="shared" si="2"/>
        <v>5.9867021276595747</v>
      </c>
      <c r="J19" s="1">
        <v>10</v>
      </c>
      <c r="K19" s="1">
        <f t="shared" si="3"/>
        <v>7.7792553191489349</v>
      </c>
      <c r="L19" s="1">
        <f t="shared" si="4"/>
        <v>4.9867021276595747</v>
      </c>
      <c r="M19" s="1">
        <v>5</v>
      </c>
      <c r="O19" t="s">
        <v>40</v>
      </c>
    </row>
    <row r="20" spans="1:15" x14ac:dyDescent="0.25">
      <c r="A20">
        <v>19</v>
      </c>
      <c r="B20" t="s">
        <v>48</v>
      </c>
      <c r="D20" t="s">
        <v>47</v>
      </c>
      <c r="E20" t="s">
        <v>19</v>
      </c>
      <c r="F20" t="s">
        <v>24</v>
      </c>
      <c r="G20" s="1">
        <f t="shared" si="0"/>
        <v>11</v>
      </c>
      <c r="H20" s="1">
        <f t="shared" si="1"/>
        <v>8.779255319148934</v>
      </c>
      <c r="I20" s="1">
        <f t="shared" si="2"/>
        <v>5.9867021276595747</v>
      </c>
      <c r="J20" s="1">
        <v>10</v>
      </c>
      <c r="K20" s="1">
        <f t="shared" si="3"/>
        <v>7.7792553191489349</v>
      </c>
      <c r="L20" s="1">
        <f t="shared" si="4"/>
        <v>4.9867021276595747</v>
      </c>
      <c r="M20" s="1">
        <v>5</v>
      </c>
      <c r="O20" t="s">
        <v>41</v>
      </c>
    </row>
    <row r="21" spans="1:15" x14ac:dyDescent="0.25">
      <c r="A21">
        <v>20</v>
      </c>
      <c r="B21" t="s">
        <v>48</v>
      </c>
      <c r="D21" t="s">
        <v>47</v>
      </c>
      <c r="E21" t="s">
        <v>20</v>
      </c>
      <c r="F21" t="s">
        <v>24</v>
      </c>
      <c r="G21" s="1">
        <f t="shared" si="0"/>
        <v>11</v>
      </c>
      <c r="H21" s="1">
        <f t="shared" si="1"/>
        <v>8.779255319148934</v>
      </c>
      <c r="I21" s="1">
        <f t="shared" si="2"/>
        <v>5.9867021276595747</v>
      </c>
      <c r="J21" s="1">
        <v>10</v>
      </c>
      <c r="K21" s="1">
        <f t="shared" si="3"/>
        <v>7.7792553191489349</v>
      </c>
      <c r="L21" s="1">
        <f t="shared" si="4"/>
        <v>4.9867021276595747</v>
      </c>
      <c r="M21" s="1">
        <v>5</v>
      </c>
      <c r="O21" t="s">
        <v>42</v>
      </c>
    </row>
    <row r="22" spans="1:15" x14ac:dyDescent="0.25">
      <c r="A22">
        <v>21</v>
      </c>
      <c r="B22" t="s">
        <v>48</v>
      </c>
      <c r="D22" t="s">
        <v>47</v>
      </c>
      <c r="E22" t="s">
        <v>21</v>
      </c>
      <c r="F22" t="s">
        <v>24</v>
      </c>
      <c r="G22" s="1">
        <f t="shared" si="0"/>
        <v>11</v>
      </c>
      <c r="H22" s="1">
        <f t="shared" si="1"/>
        <v>8.779255319148934</v>
      </c>
      <c r="I22" s="1">
        <f t="shared" si="2"/>
        <v>5.9867021276595747</v>
      </c>
      <c r="J22" s="1">
        <v>10</v>
      </c>
      <c r="K22" s="1">
        <f t="shared" si="3"/>
        <v>7.7792553191489349</v>
      </c>
      <c r="L22" s="1">
        <f t="shared" si="4"/>
        <v>4.9867021276595747</v>
      </c>
      <c r="M22" s="1">
        <v>5</v>
      </c>
      <c r="O22" t="s">
        <v>43</v>
      </c>
    </row>
    <row r="23" spans="1:15" x14ac:dyDescent="0.25">
      <c r="A23">
        <v>22</v>
      </c>
      <c r="B23" t="s">
        <v>48</v>
      </c>
      <c r="D23" t="s">
        <v>47</v>
      </c>
      <c r="E23" t="s">
        <v>19</v>
      </c>
      <c r="F23" t="s">
        <v>25</v>
      </c>
      <c r="G23" s="1">
        <f t="shared" si="0"/>
        <v>11</v>
      </c>
      <c r="H23" s="1">
        <f t="shared" si="1"/>
        <v>8.779255319148934</v>
      </c>
      <c r="I23" s="1">
        <f t="shared" si="2"/>
        <v>5.9867021276595747</v>
      </c>
      <c r="J23" s="1">
        <v>10</v>
      </c>
      <c r="K23" s="1">
        <f t="shared" si="3"/>
        <v>7.7792553191489349</v>
      </c>
      <c r="L23" s="1">
        <f t="shared" si="4"/>
        <v>4.9867021276595747</v>
      </c>
      <c r="M23" s="1">
        <v>5</v>
      </c>
      <c r="O23" t="s">
        <v>44</v>
      </c>
    </row>
    <row r="24" spans="1:15" x14ac:dyDescent="0.25">
      <c r="A24">
        <v>23</v>
      </c>
      <c r="B24" t="s">
        <v>48</v>
      </c>
      <c r="D24" t="s">
        <v>47</v>
      </c>
      <c r="E24" t="s">
        <v>20</v>
      </c>
      <c r="F24" t="s">
        <v>25</v>
      </c>
      <c r="G24" s="1">
        <f t="shared" si="0"/>
        <v>11</v>
      </c>
      <c r="H24" s="1">
        <f t="shared" si="1"/>
        <v>8.779255319148934</v>
      </c>
      <c r="I24" s="1">
        <f t="shared" si="2"/>
        <v>5.9867021276595747</v>
      </c>
      <c r="J24" s="1">
        <v>10</v>
      </c>
      <c r="K24" s="1">
        <f t="shared" si="3"/>
        <v>7.7792553191489349</v>
      </c>
      <c r="L24" s="1">
        <f t="shared" si="4"/>
        <v>4.9867021276595747</v>
      </c>
      <c r="M24" s="1">
        <v>5</v>
      </c>
      <c r="O24" t="s">
        <v>45</v>
      </c>
    </row>
    <row r="25" spans="1:15" x14ac:dyDescent="0.25">
      <c r="A25">
        <v>24</v>
      </c>
      <c r="B25" t="s">
        <v>48</v>
      </c>
      <c r="D25" t="s">
        <v>47</v>
      </c>
      <c r="E25" t="s">
        <v>21</v>
      </c>
      <c r="F25" t="s">
        <v>25</v>
      </c>
      <c r="G25" s="1">
        <f t="shared" si="0"/>
        <v>11</v>
      </c>
      <c r="H25" s="1">
        <f t="shared" si="1"/>
        <v>8.779255319148934</v>
      </c>
      <c r="I25" s="1">
        <f t="shared" si="2"/>
        <v>5.9867021276595747</v>
      </c>
      <c r="J25" s="1">
        <v>10</v>
      </c>
      <c r="K25" s="1">
        <f t="shared" si="3"/>
        <v>7.7792553191489349</v>
      </c>
      <c r="L25" s="1">
        <f t="shared" si="4"/>
        <v>4.9867021276595747</v>
      </c>
      <c r="M25" s="1">
        <v>5</v>
      </c>
      <c r="O25" t="s">
        <v>46</v>
      </c>
    </row>
    <row r="26" spans="1:15" x14ac:dyDescent="0.25">
      <c r="A26">
        <v>25</v>
      </c>
      <c r="B26" t="s">
        <v>48</v>
      </c>
      <c r="D26" t="s">
        <v>61</v>
      </c>
      <c r="E26" t="s">
        <v>19</v>
      </c>
      <c r="F26" t="s">
        <v>22</v>
      </c>
      <c r="G26" s="1">
        <f t="shared" si="0"/>
        <v>8.16</v>
      </c>
      <c r="H26" s="1">
        <f t="shared" si="1"/>
        <v>6.4278191489361705</v>
      </c>
      <c r="I26" s="1">
        <f t="shared" si="2"/>
        <v>4.2496276595744682</v>
      </c>
      <c r="J26" s="1">
        <v>7.8</v>
      </c>
      <c r="K26" s="1">
        <f t="shared" si="3"/>
        <v>6.0678191489361701</v>
      </c>
      <c r="L26" s="1">
        <f t="shared" si="4"/>
        <v>3.8896276595744679</v>
      </c>
      <c r="M26" s="1">
        <v>1.8</v>
      </c>
      <c r="O26" t="s">
        <v>49</v>
      </c>
    </row>
    <row r="27" spans="1:15" x14ac:dyDescent="0.25">
      <c r="A27">
        <v>26</v>
      </c>
      <c r="B27" t="s">
        <v>48</v>
      </c>
      <c r="D27" t="s">
        <v>61</v>
      </c>
      <c r="E27" t="s">
        <v>20</v>
      </c>
      <c r="F27" t="s">
        <v>22</v>
      </c>
      <c r="G27" s="1">
        <f t="shared" ref="G27:G37" si="5">J27+(SUM($M27:$N27)/5)</f>
        <v>8.16</v>
      </c>
      <c r="H27" s="1">
        <f t="shared" ref="H27:H37" si="6">K27+(SUM($M27:$N27)/5)</f>
        <v>6.4278191489361705</v>
      </c>
      <c r="I27" s="1">
        <f t="shared" ref="I27:I37" si="7">L27+(SUM($M27:$N27)/5)</f>
        <v>4.2496276595744682</v>
      </c>
      <c r="J27" s="1">
        <v>7.8</v>
      </c>
      <c r="K27" s="1">
        <f t="shared" si="3"/>
        <v>6.0678191489361701</v>
      </c>
      <c r="L27" s="1">
        <f t="shared" ref="L27:L37" si="8">(J27/0.752)*0.375</f>
        <v>3.8896276595744679</v>
      </c>
      <c r="M27" s="1">
        <v>1.8</v>
      </c>
      <c r="O27" t="s">
        <v>50</v>
      </c>
    </row>
    <row r="28" spans="1:15" x14ac:dyDescent="0.25">
      <c r="A28">
        <v>27</v>
      </c>
      <c r="B28" t="s">
        <v>48</v>
      </c>
      <c r="D28" t="s">
        <v>61</v>
      </c>
      <c r="E28" t="s">
        <v>21</v>
      </c>
      <c r="F28" t="s">
        <v>22</v>
      </c>
      <c r="G28" s="1">
        <f t="shared" si="5"/>
        <v>8.16</v>
      </c>
      <c r="H28" s="1">
        <f t="shared" si="6"/>
        <v>6.4278191489361705</v>
      </c>
      <c r="I28" s="1">
        <f t="shared" si="7"/>
        <v>4.2496276595744682</v>
      </c>
      <c r="J28" s="1">
        <v>7.8</v>
      </c>
      <c r="K28" s="1">
        <f t="shared" si="3"/>
        <v>6.0678191489361701</v>
      </c>
      <c r="L28" s="1">
        <f t="shared" si="8"/>
        <v>3.8896276595744679</v>
      </c>
      <c r="M28" s="1">
        <v>1.8</v>
      </c>
      <c r="O28" t="s">
        <v>51</v>
      </c>
    </row>
    <row r="29" spans="1:15" x14ac:dyDescent="0.25">
      <c r="A29">
        <v>28</v>
      </c>
      <c r="B29" t="s">
        <v>48</v>
      </c>
      <c r="D29" t="s">
        <v>61</v>
      </c>
      <c r="E29" t="s">
        <v>19</v>
      </c>
      <c r="F29" t="s">
        <v>23</v>
      </c>
      <c r="G29" s="1">
        <f t="shared" si="5"/>
        <v>8.16</v>
      </c>
      <c r="H29" s="1">
        <f t="shared" si="6"/>
        <v>6.4278191489361705</v>
      </c>
      <c r="I29" s="1">
        <f t="shared" si="7"/>
        <v>4.2496276595744682</v>
      </c>
      <c r="J29" s="1">
        <v>7.8</v>
      </c>
      <c r="K29" s="1">
        <f t="shared" si="3"/>
        <v>6.0678191489361701</v>
      </c>
      <c r="L29" s="1">
        <f t="shared" si="8"/>
        <v>3.8896276595744679</v>
      </c>
      <c r="M29" s="1">
        <v>1.8</v>
      </c>
      <c r="O29" t="s">
        <v>52</v>
      </c>
    </row>
    <row r="30" spans="1:15" x14ac:dyDescent="0.25">
      <c r="A30">
        <v>29</v>
      </c>
      <c r="B30" t="s">
        <v>48</v>
      </c>
      <c r="D30" t="s">
        <v>61</v>
      </c>
      <c r="E30" t="s">
        <v>20</v>
      </c>
      <c r="F30" t="s">
        <v>23</v>
      </c>
      <c r="G30" s="1">
        <f t="shared" si="5"/>
        <v>8.16</v>
      </c>
      <c r="H30" s="1">
        <f t="shared" si="6"/>
        <v>6.4278191489361705</v>
      </c>
      <c r="I30" s="1">
        <f t="shared" si="7"/>
        <v>4.2496276595744682</v>
      </c>
      <c r="J30" s="1">
        <v>7.8</v>
      </c>
      <c r="K30" s="1">
        <f t="shared" si="3"/>
        <v>6.0678191489361701</v>
      </c>
      <c r="L30" s="1">
        <f t="shared" si="8"/>
        <v>3.8896276595744679</v>
      </c>
      <c r="M30" s="1">
        <v>1.8</v>
      </c>
      <c r="O30" t="s">
        <v>53</v>
      </c>
    </row>
    <row r="31" spans="1:15" x14ac:dyDescent="0.25">
      <c r="A31">
        <v>30</v>
      </c>
      <c r="B31" t="s">
        <v>48</v>
      </c>
      <c r="D31" t="s">
        <v>61</v>
      </c>
      <c r="E31" t="s">
        <v>21</v>
      </c>
      <c r="F31" t="s">
        <v>23</v>
      </c>
      <c r="G31" s="1">
        <f t="shared" si="5"/>
        <v>8.16</v>
      </c>
      <c r="H31" s="1">
        <f t="shared" si="6"/>
        <v>6.4278191489361705</v>
      </c>
      <c r="I31" s="1">
        <f t="shared" si="7"/>
        <v>4.2496276595744682</v>
      </c>
      <c r="J31" s="1">
        <v>7.8</v>
      </c>
      <c r="K31" s="1">
        <f t="shared" si="3"/>
        <v>6.0678191489361701</v>
      </c>
      <c r="L31" s="1">
        <f t="shared" si="8"/>
        <v>3.8896276595744679</v>
      </c>
      <c r="M31" s="1">
        <v>1.8</v>
      </c>
      <c r="O31" t="s">
        <v>54</v>
      </c>
    </row>
    <row r="32" spans="1:15" x14ac:dyDescent="0.25">
      <c r="A32">
        <v>31</v>
      </c>
      <c r="B32" t="s">
        <v>48</v>
      </c>
      <c r="D32" t="s">
        <v>61</v>
      </c>
      <c r="E32" t="s">
        <v>19</v>
      </c>
      <c r="F32" t="s">
        <v>24</v>
      </c>
      <c r="G32" s="1">
        <f t="shared" si="5"/>
        <v>8.16</v>
      </c>
      <c r="H32" s="1">
        <f t="shared" si="6"/>
        <v>6.4278191489361705</v>
      </c>
      <c r="I32" s="1">
        <f t="shared" si="7"/>
        <v>4.2496276595744682</v>
      </c>
      <c r="J32" s="1">
        <v>7.8</v>
      </c>
      <c r="K32" s="1">
        <f t="shared" si="3"/>
        <v>6.0678191489361701</v>
      </c>
      <c r="L32" s="1">
        <f t="shared" si="8"/>
        <v>3.8896276595744679</v>
      </c>
      <c r="M32" s="1">
        <v>1.8</v>
      </c>
      <c r="O32" t="s">
        <v>55</v>
      </c>
    </row>
    <row r="33" spans="1:15" x14ac:dyDescent="0.25">
      <c r="A33">
        <v>32</v>
      </c>
      <c r="B33" t="s">
        <v>48</v>
      </c>
      <c r="D33" t="s">
        <v>61</v>
      </c>
      <c r="E33" t="s">
        <v>20</v>
      </c>
      <c r="F33" t="s">
        <v>24</v>
      </c>
      <c r="G33" s="1">
        <f t="shared" si="5"/>
        <v>8.16</v>
      </c>
      <c r="H33" s="1">
        <f t="shared" si="6"/>
        <v>6.4278191489361705</v>
      </c>
      <c r="I33" s="1">
        <f t="shared" si="7"/>
        <v>4.2496276595744682</v>
      </c>
      <c r="J33" s="1">
        <v>7.8</v>
      </c>
      <c r="K33" s="1">
        <f t="shared" si="3"/>
        <v>6.0678191489361701</v>
      </c>
      <c r="L33" s="1">
        <f t="shared" si="8"/>
        <v>3.8896276595744679</v>
      </c>
      <c r="M33" s="1">
        <v>1.8</v>
      </c>
      <c r="O33" t="s">
        <v>56</v>
      </c>
    </row>
    <row r="34" spans="1:15" x14ac:dyDescent="0.25">
      <c r="A34">
        <v>33</v>
      </c>
      <c r="B34" t="s">
        <v>48</v>
      </c>
      <c r="D34" t="s">
        <v>61</v>
      </c>
      <c r="E34" t="s">
        <v>21</v>
      </c>
      <c r="F34" t="s">
        <v>24</v>
      </c>
      <c r="G34" s="1">
        <f t="shared" si="5"/>
        <v>8.16</v>
      </c>
      <c r="H34" s="1">
        <f t="shared" si="6"/>
        <v>6.4278191489361705</v>
      </c>
      <c r="I34" s="1">
        <f t="shared" si="7"/>
        <v>4.2496276595744682</v>
      </c>
      <c r="J34" s="1">
        <v>7.8</v>
      </c>
      <c r="K34" s="1">
        <f t="shared" si="3"/>
        <v>6.0678191489361701</v>
      </c>
      <c r="L34" s="1">
        <f t="shared" si="8"/>
        <v>3.8896276595744679</v>
      </c>
      <c r="M34" s="1">
        <v>1.8</v>
      </c>
      <c r="O34" t="s">
        <v>57</v>
      </c>
    </row>
    <row r="35" spans="1:15" x14ac:dyDescent="0.25">
      <c r="A35">
        <v>34</v>
      </c>
      <c r="B35" t="s">
        <v>48</v>
      </c>
      <c r="D35" t="s">
        <v>61</v>
      </c>
      <c r="E35" t="s">
        <v>19</v>
      </c>
      <c r="F35" t="s">
        <v>25</v>
      </c>
      <c r="G35" s="1">
        <f t="shared" si="5"/>
        <v>8.16</v>
      </c>
      <c r="H35" s="1">
        <f t="shared" si="6"/>
        <v>6.4278191489361705</v>
      </c>
      <c r="I35" s="1">
        <f t="shared" si="7"/>
        <v>4.2496276595744682</v>
      </c>
      <c r="J35" s="1">
        <v>7.8</v>
      </c>
      <c r="K35" s="1">
        <f t="shared" si="3"/>
        <v>6.0678191489361701</v>
      </c>
      <c r="L35" s="1">
        <f t="shared" si="8"/>
        <v>3.8896276595744679</v>
      </c>
      <c r="M35" s="1">
        <v>1.8</v>
      </c>
      <c r="O35" t="s">
        <v>58</v>
      </c>
    </row>
    <row r="36" spans="1:15" x14ac:dyDescent="0.25">
      <c r="A36">
        <v>35</v>
      </c>
      <c r="B36" t="s">
        <v>48</v>
      </c>
      <c r="D36" t="s">
        <v>61</v>
      </c>
      <c r="E36" t="s">
        <v>20</v>
      </c>
      <c r="F36" t="s">
        <v>25</v>
      </c>
      <c r="G36" s="1">
        <f t="shared" si="5"/>
        <v>8.16</v>
      </c>
      <c r="H36" s="1">
        <f t="shared" si="6"/>
        <v>6.4278191489361705</v>
      </c>
      <c r="I36" s="1">
        <f t="shared" si="7"/>
        <v>4.2496276595744682</v>
      </c>
      <c r="J36" s="1">
        <v>7.8</v>
      </c>
      <c r="K36" s="1">
        <f t="shared" si="3"/>
        <v>6.0678191489361701</v>
      </c>
      <c r="L36" s="1">
        <f t="shared" si="8"/>
        <v>3.8896276595744679</v>
      </c>
      <c r="M36" s="1">
        <v>1.8</v>
      </c>
      <c r="O36" t="s">
        <v>59</v>
      </c>
    </row>
    <row r="37" spans="1:15" x14ac:dyDescent="0.25">
      <c r="A37">
        <v>36</v>
      </c>
      <c r="B37" t="s">
        <v>48</v>
      </c>
      <c r="D37" t="s">
        <v>61</v>
      </c>
      <c r="E37" t="s">
        <v>21</v>
      </c>
      <c r="F37" t="s">
        <v>25</v>
      </c>
      <c r="G37" s="1">
        <f t="shared" si="5"/>
        <v>8.16</v>
      </c>
      <c r="H37" s="1">
        <f t="shared" si="6"/>
        <v>6.4278191489361705</v>
      </c>
      <c r="I37" s="1">
        <f t="shared" si="7"/>
        <v>4.2496276595744682</v>
      </c>
      <c r="J37" s="1">
        <v>7.8</v>
      </c>
      <c r="K37" s="1">
        <f t="shared" si="3"/>
        <v>6.0678191489361701</v>
      </c>
      <c r="L37" s="1">
        <f t="shared" si="8"/>
        <v>3.8896276595744679</v>
      </c>
      <c r="M37" s="1">
        <v>1.8</v>
      </c>
      <c r="O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Jain</dc:creator>
  <cp:lastModifiedBy>Manish Jain</cp:lastModifiedBy>
  <dcterms:created xsi:type="dcterms:W3CDTF">2026-06-10T07:33:43Z</dcterms:created>
  <dcterms:modified xsi:type="dcterms:W3CDTF">2026-06-12T12:47:13Z</dcterms:modified>
</cp:coreProperties>
</file>